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24226"/>
  <mc:AlternateContent xmlns:mc="http://schemas.openxmlformats.org/markup-compatibility/2006">
    <mc:Choice Requires="x15"/>
  </mc:AlternateContent>
  <xr:revisionPtr revIDLastSave="0" documentId="13_ncr:1_{B1AEF291-1EC5-074A-9937-43EBAC8352DB}" xr6:coauthVersionLast="47" xr6:coauthVersionMax="47" xr10:uidLastSave="{00000000-0000-0000-0000-000000000000}"/>
  <bookViews>
    <workbookView xWindow="4180" yWindow="22280" windowWidth="29400" windowHeight="18440" activeTab="7" xr2:uid="{00000000-000D-0000-FFFF-FFFF00000000}"/>
  </bookViews>
  <sheets>
    <sheet name="Overview" sheetId="1" r:id="rId1"/>
    <sheet name="Data" sheetId="2" r:id="rId2"/>
    <sheet name="Formats" sheetId="3" r:id="rId3"/>
    <sheet name="Charts" sheetId="4" r:id="rId4"/>
    <sheet name="Sparklines" sheetId="5" r:id="rId5"/>
    <sheet name="RTL &amp; CJK" sheetId="6" r:id="rId6"/>
    <sheet name="Reference" sheetId="7" state="hidden" r:id="rId7"/>
    <sheet name="Native PivotTable and Slicer" sheetId="10" r:id="rId8"/>
  </sheets>
  <definedNames>
    <definedName name="_xlnm._FilterDatabase" localSheetId="0" hidden="1">Overview!$B$26:$F$30</definedName>
    <definedName name="_xlnm.Print_Area" localSheetId="3">Charts!$B$2:$M$54</definedName>
    <definedName name="_xlnm.Print_Area" localSheetId="1">Data!$A$1:$G$14</definedName>
    <definedName name="_xlnm.Print_Area" localSheetId="2">Formats!$B$2:$E$20</definedName>
    <definedName name="_xlnm.Print_Area" localSheetId="0">Overview!$B$2:$L$30</definedName>
    <definedName name="_xlnm.Print_Area" localSheetId="5">'RTL &amp; CJK'!$B$2:$F$12</definedName>
    <definedName name="_xlnm.Print_Area" localSheetId="4">Sparklines!$B$2:$K$9</definedName>
    <definedName name="_xlnm.Print_Titles" localSheetId="3">Charts!$1:$2</definedName>
    <definedName name="_xlnm.Print_Titles" localSheetId="1">Data!$1:$2</definedName>
    <definedName name="_xlnm.Print_Titles" localSheetId="2">Formats!$1:$2</definedName>
    <definedName name="_xlnm.Print_Titles" localSheetId="0">Overview!$1:$2</definedName>
    <definedName name="_xlnm.Print_Titles" localSheetId="5">'RTL &amp; CJK'!$1:$2</definedName>
    <definedName name="_xlnm.Print_Titles" localSheetId="4">Sparklines!$1:$2</definedName>
    <definedName name="RegionalTotals">Data!$D$2:$D$13</definedName>
    <definedName name="切片器_Format">#N/A</definedName>
    <definedName name="切片器_Region">#N/A</definedName>
    <definedName name="切片器_Status">#N/A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3" l="1"/>
  <c r="I7" i="3"/>
  <c r="G14" i="2"/>
  <c r="F14" i="2"/>
  <c r="E14" i="2"/>
  <c r="D14" i="2"/>
  <c r="C14" i="3"/>
  <c r="C21" i="1"/>
  <c r="C20" i="1" a="1"/>
  <c r="C20" i="1" s="1"/>
  <c r="C19" i="1"/>
  <c r="C18" i="1"/>
  <c r="C17" i="1"/>
  <c r="C16" i="1"/>
  <c r="H7" i="1"/>
  <c r="F7" i="1"/>
  <c r="D7" i="1"/>
  <c r="B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Nexolyra QA</author>
  </authors>
  <commentList>
    <comment ref="C11" authorId="0" shapeId="0" xr:uid="{00000000-0006-0000-0000-000001000000}">
      <text>
        <r>
          <rPr>
            <sz val="8"/>
            <color indexed="81"/>
            <rFont val="Tahoma"/>
            <family val="2"/>
          </rPr>
          <t>S12 comment marker: validation choice used by the preview test.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<sst xmlns="http://schemas.openxmlformats.org/spreadsheetml/2006/main" count="172" uniqueCount="115">
  <si>
    <t>Spreadsheet Preview Showcase</t>
  </si>
  <si>
    <t>Typed cells, formulas, validation, conditional formats, charts, drawings and print metadata</t>
  </si>
  <si>
    <t>Live KPI formulas</t>
  </si>
  <si>
    <t>Total opens</t>
  </si>
  <si>
    <t>Total saves</t>
  </si>
  <si>
    <t>Average fidelity</t>
  </si>
  <si>
    <t>Healthy rows</t>
  </si>
  <si>
    <t>Input and validation</t>
  </si>
  <si>
    <t>Format</t>
  </si>
  <si>
    <t>Document</t>
  </si>
  <si>
    <t>Threshold</t>
  </si>
  <si>
    <t>Review date</t>
  </si>
  <si>
    <t>Formula coverage</t>
  </si>
  <si>
    <t>Arithmetic</t>
  </si>
  <si>
    <t>Logical</t>
  </si>
  <si>
    <t>Text</t>
  </si>
  <si>
    <t>Date</t>
  </si>
  <si>
    <t>Lookup</t>
  </si>
  <si>
    <t>Cross-sheet</t>
  </si>
  <si>
    <t>Authoritative upstream</t>
  </si>
  <si>
    <t>Filter ID</t>
  </si>
  <si>
    <t>Owner</t>
  </si>
  <si>
    <t>State</t>
  </si>
  <si>
    <t>Score</t>
  </si>
  <si>
    <t>Note</t>
  </si>
  <si>
    <t>Avery</t>
  </si>
  <si>
    <t>Ready</t>
  </si>
  <si>
    <t>visible</t>
  </si>
  <si>
    <t>Chen</t>
  </si>
  <si>
    <t>Review</t>
  </si>
  <si>
    <t>Fatima</t>
  </si>
  <si>
    <t>Mateo</t>
  </si>
  <si>
    <t>Hold</t>
  </si>
  <si>
    <t>North</t>
  </si>
  <si>
    <t>Healthy</t>
  </si>
  <si>
    <t>South</t>
  </si>
  <si>
    <t>Spreadsheet</t>
  </si>
  <si>
    <t>East</t>
  </si>
  <si>
    <t>Presentation</t>
  </si>
  <si>
    <t>Watch</t>
  </si>
  <si>
    <t>West</t>
  </si>
  <si>
    <t>Risk</t>
  </si>
  <si>
    <t>Region</t>
  </si>
  <si>
    <t>Opens</t>
  </si>
  <si>
    <t>Saves</t>
  </si>
  <si>
    <t>Fidelity</t>
  </si>
  <si>
    <t>Status</t>
  </si>
  <si>
    <t>Cell types and formatting</t>
  </si>
  <si>
    <t>Type</t>
  </si>
  <si>
    <t>Value</t>
  </si>
  <si>
    <t>Displayed result</t>
  </si>
  <si>
    <t>Marker</t>
  </si>
  <si>
    <t>Hello 世界</t>
  </si>
  <si>
    <t>S02-01</t>
  </si>
  <si>
    <t>Integer</t>
  </si>
  <si>
    <t>123456</t>
  </si>
  <si>
    <t>S02-02</t>
  </si>
  <si>
    <t>Currency</t>
  </si>
  <si>
    <t>$9,876.50</t>
  </si>
  <si>
    <t>S02-03</t>
  </si>
  <si>
    <t>Percentage</t>
  </si>
  <si>
    <t>87.5%</t>
  </si>
  <si>
    <t>S02-04</t>
  </si>
  <si>
    <t>Scientific</t>
  </si>
  <si>
    <t>1.23E-05</t>
  </si>
  <si>
    <t>S02-05</t>
  </si>
  <si>
    <t>Jul 22, 2026</t>
  </si>
  <si>
    <t>S02-06</t>
  </si>
  <si>
    <t>Time</t>
  </si>
  <si>
    <t>2:35 PM</t>
  </si>
  <si>
    <t>S02-07</t>
  </si>
  <si>
    <t>Boolean</t>
  </si>
  <si>
    <t>TRUE</t>
  </si>
  <si>
    <t>S02-08</t>
  </si>
  <si>
    <t>Blank</t>
  </si>
  <si>
    <t>S02-09</t>
  </si>
  <si>
    <t>Error</t>
  </si>
  <si>
    <t>#DIV/0!</t>
  </si>
  <si>
    <t>Merged heading</t>
  </si>
  <si>
    <r>
      <rPr>
        <b/>
        <sz val="11"/>
        <color rgb="FF2F75B5"/>
        <rFont val="宋体"/>
        <family val="2"/>
        <scheme val="minor"/>
      </rPr>
      <t>Bold blue</t>
    </r>
    <r>
      <rPr>
        <sz val="11"/>
        <color theme="1"/>
        <rFont val="宋体"/>
        <family val="2"/>
        <scheme val="minor"/>
      </rPr>
      <t xml:space="preserve"> · </t>
    </r>
    <r>
      <rPr>
        <i/>
        <sz val="11"/>
        <color rgb="FFE76F51"/>
        <rFont val="宋体"/>
        <family val="2"/>
        <scheme val="minor"/>
      </rPr>
      <t>italic coral</t>
    </r>
    <r>
      <rPr>
        <sz val="11"/>
        <color theme="1"/>
        <rFont val="宋体"/>
        <family val="2"/>
        <scheme val="minor"/>
      </rPr>
      <t xml:space="preserve"> · rich string</t>
    </r>
  </si>
  <si>
    <t>Rotated 30°</t>
  </si>
  <si>
    <t>Month</t>
  </si>
  <si>
    <t>Target</t>
  </si>
  <si>
    <t>Jan</t>
  </si>
  <si>
    <t>Feb</t>
  </si>
  <si>
    <t>Mar</t>
  </si>
  <si>
    <t>Apr</t>
  </si>
  <si>
    <t>May</t>
  </si>
  <si>
    <t>Jun</t>
  </si>
  <si>
    <t>Sparkline types</t>
  </si>
  <si>
    <t>Series</t>
  </si>
  <si>
    <t>Line</t>
  </si>
  <si>
    <t>Column</t>
  </si>
  <si>
    <t>Win/Loss</t>
  </si>
  <si>
    <t>多语言与从右到左布局</t>
  </si>
  <si>
    <t>简体中文：预览必须保持字形与颜色。</t>
  </si>
  <si>
    <t>العربية: يجب أن يبقى اتجاه النص من اليمين إلى اليسار.</t>
  </si>
  <si>
    <t>עברית: תצוגה מקדימה בכיוון מימין לשמאל.</t>
  </si>
  <si>
    <t>日本語：セルの折り返しと配置を確認します。</t>
  </si>
  <si>
    <t>Code</t>
  </si>
  <si>
    <t>Label</t>
  </si>
  <si>
    <t>DOC</t>
  </si>
  <si>
    <t>CELL</t>
  </si>
  <si>
    <t>SLIDE</t>
  </si>
  <si>
    <t>Category</t>
  </si>
  <si>
    <t>Units</t>
  </si>
  <si>
    <t>OpenDocument</t>
  </si>
  <si>
    <t>Total</t>
    <phoneticPr fontId="15" type="noConversion"/>
  </si>
  <si>
    <t>行标签</t>
  </si>
  <si>
    <t>总计</t>
  </si>
  <si>
    <t>列标签</t>
  </si>
  <si>
    <t>求和项:Opens汇总</t>
  </si>
  <si>
    <t>求和项:Saves汇总</t>
  </si>
  <si>
    <t>平均值项:Fidelity汇总</t>
  </si>
  <si>
    <t>交互筛选面板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</si>
</sst>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yyyy\-mm\-dd"/>
    <numFmt numFmtId="178" formatCode="\$#,##0.00"/>
  </numFmts>
  <fonts count="17">
    <font>
      <sz val="11"/>
      <color theme="1"/>
      <name val="宋体"/>
      <family val="2"/>
      <scheme val="minor"/>
    </font>
    <font>
      <b/>
      <sz val="24"/>
      <color rgb="FF12304A"/>
      <name val="Aptos Display"/>
      <family val="2"/>
    </font>
    <font>
      <sz val="11"/>
      <color rgb="FF607785"/>
      <name val="Aptos"/>
      <family val="2"/>
    </font>
    <font>
      <b/>
      <sz val="14"/>
      <color rgb="FFFFFFFF"/>
      <name val="Aptos Display"/>
      <family val="2"/>
    </font>
    <font>
      <b/>
      <sz val="10"/>
      <color rgb="FF607785"/>
      <name val="Aptos"/>
      <family val="2"/>
    </font>
    <font>
      <b/>
      <sz val="18"/>
      <color rgb="FF12304A"/>
      <name val="Aptos Display"/>
      <family val="2"/>
    </font>
    <font>
      <sz val="10"/>
      <color rgb="FF18313F"/>
      <name val="Aptos"/>
      <family val="2"/>
    </font>
    <font>
      <sz val="10"/>
      <color rgb="FF12304A"/>
      <name val="Aptos"/>
      <family val="2"/>
    </font>
    <font>
      <u/>
      <sz val="10"/>
      <color rgb="FF0563C1"/>
      <name val="Aptos"/>
      <family val="2"/>
    </font>
    <font>
      <b/>
      <sz val="10"/>
      <color rgb="FFFFFFFF"/>
      <name val="Aptos"/>
      <family val="2"/>
    </font>
    <font>
      <sz val="13"/>
      <color rgb="FF12304A"/>
      <name val="PingFang SC"/>
      <family val="2"/>
    </font>
    <font>
      <sz val="13"/>
      <color rgb="FF12304A"/>
      <name val="Arial"/>
      <family val="2"/>
    </font>
    <font>
      <sz val="8"/>
      <color indexed="81"/>
      <name val="Tahoma"/>
      <family val="2"/>
    </font>
    <font>
      <b/>
      <sz val="11"/>
      <color rgb="FF2F75B5"/>
      <name val="宋体"/>
      <family val="2"/>
      <scheme val="minor"/>
    </font>
    <font>
      <i/>
      <sz val="11"/>
      <color rgb="FFE76F5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E7F5EF"/>
        <bgColor indexed="64"/>
      </patternFill>
    </fill>
    <fill>
      <patternFill patternType="solid">
        <fgColor rgb="FF12304A"/>
        <bgColor indexed="64"/>
      </patternFill>
    </fill>
    <fill>
      <patternFill patternType="solid">
        <fgColor rgb="FF1D2330"/>
        <bgColor indexed="64"/>
      </patternFill>
    </fill>
  </fills>
  <borders count="6">
    <border>
      <left/>
      <right/>
      <top/>
      <bottom/>
      <diagonal/>
    </border>
    <border>
      <left style="thin">
        <color rgb="FFD7E0E7"/>
      </left>
      <right style="thin">
        <color rgb="FFD7E0E7"/>
      </right>
      <top style="thin">
        <color rgb="FFD7E0E7"/>
      </top>
      <bottom style="thin">
        <color rgb="FFD7E0E7"/>
      </bottom>
      <diagonal/>
    </border>
    <border>
      <left style="thin">
        <color rgb="FFF2B134"/>
      </left>
      <right style="thin">
        <color rgb="FFF2B134"/>
      </right>
      <top style="thin">
        <color rgb="FFF2B134"/>
      </top>
      <bottom style="thin">
        <color rgb="FFF2B134"/>
      </bottom>
      <diagonal/>
    </border>
    <border>
      <left style="thin">
        <color rgb="FF00A6A6"/>
      </left>
      <right style="thin">
        <color rgb="FF00A6A6"/>
      </right>
      <top style="thin">
        <color rgb="FF00A6A6"/>
      </top>
      <bottom style="thin">
        <color rgb="FF00A6A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0" xfId="0" applyFont="1"/>
    <xf numFmtId="0" fontId="6" fillId="4" borderId="2" xfId="0" applyFont="1" applyFill="1" applyBorder="1"/>
    <xf numFmtId="176" fontId="6" fillId="0" borderId="0" xfId="0" applyNumberFormat="1" applyFont="1"/>
    <xf numFmtId="177" fontId="6" fillId="0" borderId="0" xfId="0" applyNumberFormat="1" applyFont="1"/>
    <xf numFmtId="0" fontId="7" fillId="5" borderId="3" xfId="0" applyFont="1" applyFill="1" applyBorder="1"/>
    <xf numFmtId="0" fontId="8" fillId="0" borderId="0" xfId="0" applyFont="1"/>
    <xf numFmtId="0" fontId="9" fillId="6" borderId="4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178" fontId="6" fillId="0" borderId="0" xfId="0" applyNumberFormat="1" applyFont="1"/>
    <xf numFmtId="11" fontId="6" fillId="0" borderId="0" xfId="0" applyNumberFormat="1" applyFont="1"/>
    <xf numFmtId="18" fontId="6" fillId="0" borderId="0" xfId="0" applyNumberFormat="1" applyFont="1"/>
    <xf numFmtId="0" fontId="6" fillId="0" borderId="0" xfId="0" applyFont="1" applyAlignment="1">
      <alignment vertical="center" wrapText="1"/>
    </xf>
    <xf numFmtId="0" fontId="0" fillId="3" borderId="5" xfId="0" applyFill="1" applyBorder="1" applyAlignment="1">
      <alignment horizontal="center" textRotation="30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76" fontId="0" fillId="0" borderId="0" xfId="0" applyNumberFormat="1"/>
    <xf numFmtId="0" fontId="16" fillId="7" borderId="0" xfId="0" applyFont="1" applyFill="1"/>
    <xf numFmtId="0" fontId="3" fillId="2" borderId="0" xfId="0" applyFont="1" applyFill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</cellXfs>
  <cellStyles count="1">
    <cellStyle name="常规" xfId="0" builtinId="0"/>
  </cellStyles>
  <dxfs count="2">
    <dxf>
      <font>
        <color rgb="FF9B1C1C"/>
      </font>
      <fill>
        <patternFill>
          <bgColor rgb="FFFDE2E2"/>
        </patternFill>
      </fill>
    </dxf>
    <dxf>
      <fill>
        <patternFill>
          <bgColor rgb="FFFFF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Column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Document</c:v>
          </c:tx>
          <c:invertIfNegative val="0"/>
          <c:cat>
            <c:strRef>
              <c:f>Charts!$B$3:$B$8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Charts!$C$3:$C$8</c:f>
              <c:numCache>
                <c:formatCode>General</c:formatCode>
                <c:ptCount val="6"/>
                <c:pt idx="0">
                  <c:v>120</c:v>
                </c:pt>
                <c:pt idx="1">
                  <c:v>138</c:v>
                </c:pt>
                <c:pt idx="2">
                  <c:v>151</c:v>
                </c:pt>
                <c:pt idx="3">
                  <c:v>169</c:v>
                </c:pt>
                <c:pt idx="4">
                  <c:v>188</c:v>
                </c:pt>
                <c:pt idx="5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E2-A24A-95F0-42BCBA2AC80E}"/>
            </c:ext>
          </c:extLst>
        </c:ser>
        <c:ser>
          <c:idx val="1"/>
          <c:order val="1"/>
          <c:tx>
            <c:v>Spreadsheet</c:v>
          </c:tx>
          <c:invertIfNegative val="0"/>
          <c:cat>
            <c:strRef>
              <c:f>Charts!$B$3:$B$8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Charts!$D$3:$D$8</c:f>
              <c:numCache>
                <c:formatCode>General</c:formatCode>
                <c:ptCount val="6"/>
                <c:pt idx="0">
                  <c:v>105</c:v>
                </c:pt>
                <c:pt idx="1">
                  <c:v>118</c:v>
                </c:pt>
                <c:pt idx="2">
                  <c:v>132</c:v>
                </c:pt>
                <c:pt idx="3">
                  <c:v>147</c:v>
                </c:pt>
                <c:pt idx="4">
                  <c:v>164</c:v>
                </c:pt>
                <c:pt idx="5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E2-A24A-95F0-42BCBA2AC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Document</c:v>
          </c:tx>
          <c:marker>
            <c:symbol val="none"/>
          </c:marker>
          <c:cat>
            <c:strRef>
              <c:f>Charts!$B$3:$B$8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Charts!$C$3:$C$8</c:f>
              <c:numCache>
                <c:formatCode>General</c:formatCode>
                <c:ptCount val="6"/>
                <c:pt idx="0">
                  <c:v>120</c:v>
                </c:pt>
                <c:pt idx="1">
                  <c:v>138</c:v>
                </c:pt>
                <c:pt idx="2">
                  <c:v>151</c:v>
                </c:pt>
                <c:pt idx="3">
                  <c:v>169</c:v>
                </c:pt>
                <c:pt idx="4">
                  <c:v>188</c:v>
                </c:pt>
                <c:pt idx="5">
                  <c:v>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19-1641-8143-CC8DFBCFEFD5}"/>
            </c:ext>
          </c:extLst>
        </c:ser>
        <c:ser>
          <c:idx val="1"/>
          <c:order val="1"/>
          <c:tx>
            <c:v>Presentation</c:v>
          </c:tx>
          <c:marker>
            <c:symbol val="none"/>
          </c:marker>
          <c:cat>
            <c:strRef>
              <c:f>Charts!$B$3:$B$8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Charts!$E$3:$E$8</c:f>
              <c:numCache>
                <c:formatCode>General</c:formatCode>
                <c:ptCount val="6"/>
                <c:pt idx="0">
                  <c:v>92</c:v>
                </c:pt>
                <c:pt idx="1">
                  <c:v>101</c:v>
                </c:pt>
                <c:pt idx="2">
                  <c:v>116</c:v>
                </c:pt>
                <c:pt idx="3">
                  <c:v>128</c:v>
                </c:pt>
                <c:pt idx="4">
                  <c:v>143</c:v>
                </c:pt>
                <c:pt idx="5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19-1641-8143-CC8DFBCFE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Pie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June mix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Charts!$C$2:$E$2</c:f>
              <c:strCache>
                <c:ptCount val="3"/>
                <c:pt idx="0">
                  <c:v>Document</c:v>
                </c:pt>
                <c:pt idx="1">
                  <c:v>Spreadsheet</c:v>
                </c:pt>
                <c:pt idx="2">
                  <c:v>Presentation</c:v>
                </c:pt>
              </c:strCache>
            </c:strRef>
          </c:cat>
          <c:val>
            <c:numRef>
              <c:f>Charts!$C$8:$E$8</c:f>
              <c:numCache>
                <c:formatCode>General</c:formatCode>
                <c:ptCount val="3"/>
                <c:pt idx="0">
                  <c:v>212</c:v>
                </c:pt>
                <c:pt idx="1">
                  <c:v>183</c:v>
                </c:pt>
                <c:pt idx="2">
                  <c:v>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8-FB42-A1D0-DB6114752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Area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Document</c:v>
          </c:tx>
          <c:cat>
            <c:strRef>
              <c:f>Charts!$B$3:$B$8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Charts!$C$3:$C$8</c:f>
              <c:numCache>
                <c:formatCode>General</c:formatCode>
                <c:ptCount val="6"/>
                <c:pt idx="0">
                  <c:v>120</c:v>
                </c:pt>
                <c:pt idx="1">
                  <c:v>138</c:v>
                </c:pt>
                <c:pt idx="2">
                  <c:v>151</c:v>
                </c:pt>
                <c:pt idx="3">
                  <c:v>169</c:v>
                </c:pt>
                <c:pt idx="4">
                  <c:v>188</c:v>
                </c:pt>
                <c:pt idx="5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7-304C-BE47-372F3C734D1E}"/>
            </c:ext>
          </c:extLst>
        </c:ser>
        <c:ser>
          <c:idx val="1"/>
          <c:order val="1"/>
          <c:tx>
            <c:v>Spreadsheet</c:v>
          </c:tx>
          <c:cat>
            <c:strRef>
              <c:f>Charts!$B$3:$B$8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Charts!$D$3:$D$8</c:f>
              <c:numCache>
                <c:formatCode>General</c:formatCode>
                <c:ptCount val="6"/>
                <c:pt idx="0">
                  <c:v>105</c:v>
                </c:pt>
                <c:pt idx="1">
                  <c:v>118</c:v>
                </c:pt>
                <c:pt idx="2">
                  <c:v>132</c:v>
                </c:pt>
                <c:pt idx="3">
                  <c:v>147</c:v>
                </c:pt>
                <c:pt idx="4">
                  <c:v>164</c:v>
                </c:pt>
                <c:pt idx="5">
                  <c:v>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57-304C-BE47-372F3C734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area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Scatter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Saves vs opens</c:v>
          </c:tx>
          <c:xVal>
            <c:numRef>
              <c:f>Data!$D$2:$D$13</c:f>
              <c:numCache>
                <c:formatCode>General</c:formatCode>
                <c:ptCount val="12"/>
                <c:pt idx="0">
                  <c:v>128</c:v>
                </c:pt>
                <c:pt idx="1">
                  <c:v>156</c:v>
                </c:pt>
                <c:pt idx="2">
                  <c:v>118</c:v>
                </c:pt>
                <c:pt idx="3">
                  <c:v>172</c:v>
                </c:pt>
                <c:pt idx="4">
                  <c:v>184</c:v>
                </c:pt>
                <c:pt idx="5">
                  <c:v>143</c:v>
                </c:pt>
                <c:pt idx="6">
                  <c:v>201</c:v>
                </c:pt>
                <c:pt idx="7">
                  <c:v>194</c:v>
                </c:pt>
                <c:pt idx="8">
                  <c:v>167</c:v>
                </c:pt>
                <c:pt idx="9">
                  <c:v>219</c:v>
                </c:pt>
                <c:pt idx="10">
                  <c:v>208</c:v>
                </c:pt>
                <c:pt idx="11">
                  <c:v>181</c:v>
                </c:pt>
              </c:numCache>
            </c:numRef>
          </c:xVal>
          <c:yVal>
            <c:numRef>
              <c:f>Data!$E$2:$E$13</c:f>
              <c:numCache>
                <c:formatCode>General</c:formatCode>
                <c:ptCount val="12"/>
                <c:pt idx="0">
                  <c:v>74</c:v>
                </c:pt>
                <c:pt idx="1">
                  <c:v>82</c:v>
                </c:pt>
                <c:pt idx="2">
                  <c:v>69</c:v>
                </c:pt>
                <c:pt idx="3">
                  <c:v>91</c:v>
                </c:pt>
                <c:pt idx="4">
                  <c:v>95</c:v>
                </c:pt>
                <c:pt idx="5">
                  <c:v>77</c:v>
                </c:pt>
                <c:pt idx="6">
                  <c:v>108</c:v>
                </c:pt>
                <c:pt idx="7">
                  <c:v>102</c:v>
                </c:pt>
                <c:pt idx="8">
                  <c:v>88</c:v>
                </c:pt>
                <c:pt idx="9">
                  <c:v>116</c:v>
                </c:pt>
                <c:pt idx="10">
                  <c:v>111</c:v>
                </c:pt>
                <c:pt idx="11">
                  <c:v>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7F-DF42-9DD8-B7AD02C8C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5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Combo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Document</c:v>
          </c:tx>
          <c:invertIfNegative val="0"/>
          <c:cat>
            <c:strRef>
              <c:f>Charts!$B$3:$B$8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Charts!$C$3:$C$8</c:f>
              <c:numCache>
                <c:formatCode>General</c:formatCode>
                <c:ptCount val="6"/>
                <c:pt idx="0">
                  <c:v>120</c:v>
                </c:pt>
                <c:pt idx="1">
                  <c:v>138</c:v>
                </c:pt>
                <c:pt idx="2">
                  <c:v>151</c:v>
                </c:pt>
                <c:pt idx="3">
                  <c:v>169</c:v>
                </c:pt>
                <c:pt idx="4">
                  <c:v>188</c:v>
                </c:pt>
                <c:pt idx="5">
                  <c:v>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0-BA41-8DAE-414B0DD57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lineChart>
        <c:grouping val="standard"/>
        <c:varyColors val="0"/>
        <c:ser>
          <c:idx val="1"/>
          <c:order val="1"/>
          <c:tx>
            <c:v>Target</c:v>
          </c:tx>
          <c:marker>
            <c:symbol val="none"/>
          </c:marker>
          <c:cat>
            <c:strRef>
              <c:f>Charts!$B$3:$B$8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Charts!$F$3:$F$8</c:f>
              <c:numCache>
                <c:formatCode>General</c:formatCode>
                <c:ptCount val="6"/>
                <c:pt idx="0">
                  <c:v>100</c:v>
                </c:pt>
                <c:pt idx="1">
                  <c:v>110</c:v>
                </c:pt>
                <c:pt idx="2">
                  <c:v>120</c:v>
                </c:pt>
                <c:pt idx="3">
                  <c:v>130</c:v>
                </c:pt>
                <c:pt idx="4">
                  <c:v>145</c:v>
                </c:pt>
                <c:pt idx="5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B0-BA41-8DAE-414B0DD57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60001"/>
        <c:axId val="50060002"/>
      </c:lineChart>
      <c:catAx>
        <c:axId val="5006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633984</xdr:colOff>
      <xdr:row>3</xdr:row>
      <xdr:rowOff>14859</xdr:rowOff>
    </xdr:to>
    <xdr:pic>
      <xdr:nvPicPr>
        <xdr:cNvPr id="2" name="Picture 1" descr="Nexolyra mar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190500"/>
          <a:ext cx="633984" cy="633984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9</xdr:row>
      <xdr:rowOff>0</xdr:rowOff>
    </xdr:from>
    <xdr:to>
      <xdr:col>10</xdr:col>
      <xdr:colOff>304800</xdr:colOff>
      <xdr:row>13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905500" y="1952625"/>
          <a:ext cx="3048000" cy="857250"/>
        </a:xfrm>
        <a:prstGeom prst="rect">
          <a:avLst/>
        </a:prstGeom>
        <a:solidFill>
          <a:srgbClr val="EAF3F8"/>
        </a:solidFill>
        <a:ln w="19050" cmpd="sng">
          <a:solidFill>
            <a:srgbClr val="2F75B5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>
              <a:solidFill>
                <a:srgbClr val="12304A"/>
              </a:solidFill>
              <a:latin typeface="Aptos"/>
              <a:cs typeface="Aptos"/>
            </a:rPr>
            <a:t>S13 TEXT BOX</a:t>
          </a:r>
        </a:p>
        <a:p>
          <a:r>
            <a:rPr lang="en-US" sz="1100">
              <a:solidFill>
                <a:srgbClr val="12304A"/>
              </a:solidFill>
              <a:latin typeface="Aptos"/>
              <a:cs typeface="Aptos"/>
            </a:rPr>
            <a:t>Drawing objects must remain selectable and readable.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5</xdr:col>
      <xdr:colOff>666750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11</xdr:col>
      <xdr:colOff>666750</xdr:colOff>
      <xdr:row>19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5</xdr:col>
      <xdr:colOff>666750</xdr:colOff>
      <xdr:row>34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11</xdr:col>
      <xdr:colOff>666750</xdr:colOff>
      <xdr:row>34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5</xdr:col>
      <xdr:colOff>666750</xdr:colOff>
      <xdr:row>49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39</xdr:row>
      <xdr:rowOff>0</xdr:rowOff>
    </xdr:from>
    <xdr:to>
      <xdr:col>11</xdr:col>
      <xdr:colOff>666750</xdr:colOff>
      <xdr:row>49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165819</xdr:rowOff>
    </xdr:from>
    <xdr:to>
      <xdr:col>1</xdr:col>
      <xdr:colOff>1074470</xdr:colOff>
      <xdr:row>21</xdr:row>
      <xdr:rowOff>67206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区域筛选">
              <a:extLst>
                <a:ext uri="{FF2B5EF4-FFF2-40B4-BE49-F238E27FC236}">
                  <a16:creationId xmlns:a16="http://schemas.microsoft.com/office/drawing/2014/main" id="{A3F6583C-E8FC-9C2B-BD2C-56D7BBEE8B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区域筛选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65400" y="482600"/>
              <a:ext cx="1841500" cy="1841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1226870</xdr:colOff>
      <xdr:row>10</xdr:row>
      <xdr:rowOff>165819</xdr:rowOff>
    </xdr:from>
    <xdr:to>
      <xdr:col>3</xdr:col>
      <xdr:colOff>639664</xdr:colOff>
      <xdr:row>21</xdr:row>
      <xdr:rowOff>67206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格式筛选">
              <a:extLst>
                <a:ext uri="{FF2B5EF4-FFF2-40B4-BE49-F238E27FC236}">
                  <a16:creationId xmlns:a16="http://schemas.microsoft.com/office/drawing/2014/main" id="{7578F7EA-71C9-D4AF-B7CC-79B9D25821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格式筛选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41900" y="482600"/>
              <a:ext cx="2095500" cy="1841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792064</xdr:colOff>
      <xdr:row>10</xdr:row>
      <xdr:rowOff>165819</xdr:rowOff>
    </xdr:from>
    <xdr:to>
      <xdr:col>4</xdr:col>
      <xdr:colOff>894520</xdr:colOff>
      <xdr:row>20</xdr:row>
      <xdr:rowOff>116246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状态筛选">
              <a:extLst>
                <a:ext uri="{FF2B5EF4-FFF2-40B4-BE49-F238E27FC236}">
                  <a16:creationId xmlns:a16="http://schemas.microsoft.com/office/drawing/2014/main" id="{41D7737A-2D09-0AE2-7E9C-DB8C5A7C8F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状态筛选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65400" y="2260600"/>
              <a:ext cx="1841500" cy="171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 X" refreshedDate="46225.738048495368" createdVersion="8" refreshedVersion="8" minRefreshableVersion="3" recordCount="12" xr:uid="{264EC25B-A91A-C147-8CA8-863504F12102}">
  <cacheSource type="worksheet">
    <worksheetSource ref="A1:G13" sheet="Data"/>
  </cacheSource>
  <cacheFields count="7">
    <cacheField name="Date" numFmtId="177">
      <sharedItems containsSemiMixedTypes="0" containsNonDate="0" containsDate="1" containsString="0" minDate="2026-01-05T00:00:00" maxDate="2026-03-24T00:00:00"/>
    </cacheField>
    <cacheField name="Region" numFmtId="0">
      <sharedItems count="4">
        <s v="North"/>
        <s v="South"/>
        <s v="East"/>
        <s v="West"/>
      </sharedItems>
    </cacheField>
    <cacheField name="Format" numFmtId="0">
      <sharedItems count="3">
        <s v="Document"/>
        <s v="Spreadsheet"/>
        <s v="Presentation"/>
      </sharedItems>
    </cacheField>
    <cacheField name="Opens" numFmtId="0">
      <sharedItems containsSemiMixedTypes="0" containsString="0" containsNumber="1" containsInteger="1" minValue="118" maxValue="219"/>
    </cacheField>
    <cacheField name="Saves" numFmtId="0">
      <sharedItems containsSemiMixedTypes="0" containsString="0" containsNumber="1" containsInteger="1" minValue="69" maxValue="116"/>
    </cacheField>
    <cacheField name="Fidelity" numFmtId="176">
      <sharedItems containsSemiMixedTypes="0" containsString="0" containsNumber="1" minValue="0.84" maxValue="0.98"/>
    </cacheField>
    <cacheField name="Status" numFmtId="0">
      <sharedItems count="3">
        <s v="Healthy"/>
        <s v="Watch"/>
        <s v="Risk"/>
      </sharedItems>
    </cacheField>
  </cacheFields>
  <extLst>
    <ext xmlns:x14="http://schemas.microsoft.com/office/spreadsheetml/2009/9/main" uri="{725AE2AE-9491-48be-B2B4-4EB974FC3084}">
      <x14:pivotCacheDefinition pivotCacheId="3834112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d v="2026-01-05T00:00:00"/>
    <x v="0"/>
    <x v="0"/>
    <n v="128"/>
    <n v="74"/>
    <n v="0.94"/>
    <x v="0"/>
  </r>
  <r>
    <d v="2026-01-12T00:00:00"/>
    <x v="1"/>
    <x v="1"/>
    <n v="156"/>
    <n v="82"/>
    <n v="0.91"/>
    <x v="0"/>
  </r>
  <r>
    <d v="2026-01-19T00:00:00"/>
    <x v="2"/>
    <x v="2"/>
    <n v="118"/>
    <n v="69"/>
    <n v="0.88"/>
    <x v="1"/>
  </r>
  <r>
    <d v="2026-01-26T00:00:00"/>
    <x v="3"/>
    <x v="0"/>
    <n v="172"/>
    <n v="91"/>
    <n v="0.96"/>
    <x v="0"/>
  </r>
  <r>
    <d v="2026-02-02T00:00:00"/>
    <x v="0"/>
    <x v="1"/>
    <n v="184"/>
    <n v="95"/>
    <n v="0.92"/>
    <x v="0"/>
  </r>
  <r>
    <d v="2026-02-09T00:00:00"/>
    <x v="1"/>
    <x v="2"/>
    <n v="143"/>
    <n v="77"/>
    <n v="0.86"/>
    <x v="1"/>
  </r>
  <r>
    <d v="2026-02-16T00:00:00"/>
    <x v="2"/>
    <x v="0"/>
    <n v="201"/>
    <n v="108"/>
    <n v="0.97"/>
    <x v="0"/>
  </r>
  <r>
    <d v="2026-02-23T00:00:00"/>
    <x v="3"/>
    <x v="1"/>
    <n v="194"/>
    <n v="102"/>
    <n v="0.9"/>
    <x v="0"/>
  </r>
  <r>
    <d v="2026-03-02T00:00:00"/>
    <x v="0"/>
    <x v="2"/>
    <n v="167"/>
    <n v="88"/>
    <n v="0.84"/>
    <x v="2"/>
  </r>
  <r>
    <d v="2026-03-09T00:00:00"/>
    <x v="1"/>
    <x v="0"/>
    <n v="219"/>
    <n v="116"/>
    <n v="0.98"/>
    <x v="0"/>
  </r>
  <r>
    <d v="2026-03-16T00:00:00"/>
    <x v="2"/>
    <x v="1"/>
    <n v="208"/>
    <n v="111"/>
    <n v="0.93"/>
    <x v="0"/>
  </r>
  <r>
    <d v="2026-03-23T00:00:00"/>
    <x v="3"/>
    <x v="2"/>
    <n v="181"/>
    <n v="97"/>
    <n v="0.8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98208B-7886-0D40-B080-E37FCE9F6678}" name="数据透视表汇总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D6" firstHeaderRow="1" firstDataRow="3" firstDataCol="1" rowPageCount="1" colPageCount="1"/>
  <pivotFields count="7">
    <pivotField numFmtId="177" showAll="0"/>
    <pivotField axis="axisRow" showAll="0">
      <items count="5">
        <item h="1" x="2"/>
        <item x="0"/>
        <item h="1" x="1"/>
        <item h="1" x="3"/>
        <item t="default"/>
      </items>
    </pivotField>
    <pivotField axis="axisCol" showAll="0">
      <items count="4">
        <item h="1" x="0"/>
        <item h="1" x="2"/>
        <item x="1"/>
        <item t="default"/>
      </items>
    </pivotField>
    <pivotField dataField="1" showAll="0"/>
    <pivotField dataField="1" showAll="0"/>
    <pivotField dataField="1" numFmtId="176" showAll="0"/>
    <pivotField axis="axisPage" showAll="0">
      <items count="4">
        <item x="0"/>
        <item x="2"/>
        <item x="1"/>
        <item t="default"/>
      </items>
    </pivotField>
  </pivotFields>
  <rowFields count="1">
    <field x="1"/>
  </rowFields>
  <rowItems count="1">
    <i t="grand">
      <x/>
    </i>
  </rowItems>
  <colFields count="2">
    <field x="2"/>
    <field x="-2"/>
  </colFields>
  <colItems count="3">
    <i t="grand">
      <x/>
    </i>
    <i t="grand" i="1">
      <x v="1"/>
    </i>
    <i t="grand" i="2">
      <x v="2"/>
    </i>
  </colItems>
  <pageFields count="1">
    <pageField fld="6" item="1" hier="-1"/>
  </pageFields>
  <dataFields count="3">
    <dataField name="求和项:Opens" fld="3" baseField="0" baseItem="0" numFmtId="3"/>
    <dataField name="求和项:Saves" fld="4" baseField="0" baseItem="0" numFmtId="3"/>
    <dataField name="平均值项:Fidelity" fld="5" subtotal="average" baseField="0" baseItem="0" numFmtId="17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Region" xr10:uid="{72271525-8EC4-ED48-A921-8743DFC80431}" sourceName="Region">
  <pivotTables>
    <pivotTable tabId="10" name="数据透视表汇总"/>
  </pivotTables>
  <data>
    <tabular pivotCacheId="383411283">
      <items count="4">
        <i x="2" nd="1"/>
        <i x="0" s="1" nd="1"/>
        <i x="1" nd="1"/>
        <i x="3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Format" xr10:uid="{D778362B-D99A-2649-8CE0-4528BDB6E301}" sourceName="Format">
  <pivotTables>
    <pivotTable tabId="10" name="数据透视表汇总"/>
  </pivotTables>
  <data>
    <tabular pivotCacheId="383411283">
      <items count="3">
        <i x="2"/>
        <i x="0" nd="1"/>
        <i x="1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Status" xr10:uid="{C0DD3CE1-39E8-C14E-8090-B59F25AFA904}" sourceName="Status">
  <pivotTables>
    <pivotTable tabId="10" name="数据透视表汇总"/>
  </pivotTables>
  <data>
    <tabular pivotCacheId="383411283">
      <items count="3">
        <i x="0"/>
        <i x="2" s="1" nd="1"/>
        <i x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区域筛选" xr10:uid="{EA2EC87B-727C-2948-B66D-91C9A4ACAC5E}" cache="切片器_Region" caption="区域 Region" rowHeight="209550"/>
  <slicer name="格式筛选" xr10:uid="{E779C762-06FF-4A44-BADD-22A224FA3979}" cache="切片器_Format" caption="格式 Format" rowHeight="209550"/>
  <slicer name="状态筛选" xr10:uid="{F3395CC8-C9D1-3141-B1E1-9F3CE9F079F3}" cache="切片器_Status" caption="状态 Status" rowHeight="2095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able" displayName="DataTable" ref="A1:G14" totalsRowCount="1">
  <autoFilter ref="A1:G13" xr:uid="{00000000-0009-0000-0100-000001000000}"/>
  <tableColumns count="7">
    <tableColumn id="1" xr3:uid="{00000000-0010-0000-0000-000001000000}" name="Date"/>
    <tableColumn id="2" xr3:uid="{00000000-0010-0000-0000-000002000000}" name="Region"/>
    <tableColumn id="3" xr3:uid="{00000000-0010-0000-0000-000003000000}" name="Format"/>
    <tableColumn id="4" xr3:uid="{00000000-0010-0000-0000-000004000000}" name="Opens" totalsRowFunction="sum"/>
    <tableColumn id="5" xr3:uid="{00000000-0010-0000-0000-000005000000}" name="Saves" totalsRowFunction="sum"/>
    <tableColumn id="6" xr3:uid="{00000000-0010-0000-0000-000006000000}" name="Fidelity" totalsRowFunction="average"/>
    <tableColumn id="7" xr3:uid="{00000000-0010-0000-0000-000007000000}" name="Status" totalsRowFunction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99F8B8-F3F7-984C-A5A4-4247EEA2BC2E}" name="TotalsDemo" displayName="TotalsDemo" ref="G2:I7" totalsRowCount="1">
  <autoFilter ref="G2:I6" xr:uid="{F799F8B8-F3F7-984C-A5A4-4247EEA2BC2E}"/>
  <tableColumns count="3">
    <tableColumn id="1" xr3:uid="{82DC8C17-D12B-3F43-8586-B0D153910A2F}" name="Category" totalsRowLabel="Total"/>
    <tableColumn id="2" xr3:uid="{6DF5C6FF-DD84-A146-BA92-A9D8ECEDCB96}" name="Units" totalsRowFunction="sum"/>
    <tableColumn id="3" xr3:uid="{6DAA59B3-6FA3-D947-84A9-F0B13443822E}" name="Value" totalsRowFunction="s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79585D-6002-FF4D-A3E1-B48D38CC74F9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18a216d5-76bc-44d7-bab3-27f1161f696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github.com/ONLYOFFICE/DocumentServer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  <pageSetUpPr fitToPage="1"/>
  </sheetPr>
  <dimension ref="B2:L30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8.83203125" defaultRowHeight="14"/>
  <cols>
    <col min="1" max="1" width="3.33203125" customWidth="1"/>
    <col min="2" max="2" width="18.6640625" customWidth="1"/>
    <col min="3" max="6" width="15.6640625" customWidth="1"/>
    <col min="7" max="7" width="3.6640625" customWidth="1"/>
    <col min="8" max="12" width="13.6640625" customWidth="1"/>
  </cols>
  <sheetData>
    <row r="2" spans="2:12" ht="34" customHeight="1">
      <c r="B2" s="22" t="s">
        <v>0</v>
      </c>
      <c r="C2" s="22"/>
      <c r="D2" s="22"/>
      <c r="E2" s="22"/>
      <c r="F2" s="22"/>
    </row>
    <row r="3" spans="2:12" ht="15">
      <c r="B3" s="23" t="s">
        <v>1</v>
      </c>
      <c r="C3" s="23"/>
      <c r="D3" s="23"/>
      <c r="E3" s="23"/>
      <c r="F3" s="23"/>
    </row>
    <row r="5" spans="2:12" ht="18">
      <c r="B5" s="21" t="s">
        <v>2</v>
      </c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2:12" ht="15">
      <c r="B6" s="24" t="s">
        <v>3</v>
      </c>
      <c r="C6" s="24"/>
      <c r="D6" s="24" t="s">
        <v>4</v>
      </c>
      <c r="E6" s="24"/>
      <c r="F6" s="24" t="s">
        <v>5</v>
      </c>
      <c r="G6" s="24"/>
      <c r="H6" s="24" t="s">
        <v>6</v>
      </c>
      <c r="I6" s="24"/>
    </row>
    <row r="7" spans="2:12" ht="24">
      <c r="B7" s="25">
        <f>SUM(DataTable[Opens])</f>
        <v>2071</v>
      </c>
      <c r="C7" s="25"/>
      <c r="D7" s="25">
        <f>SUM(DataTable[Saves])</f>
        <v>1110</v>
      </c>
      <c r="E7" s="25"/>
      <c r="F7" s="25">
        <f>AVERAGE(DataTable[Fidelity])</f>
        <v>0.91500000000000015</v>
      </c>
      <c r="G7" s="25"/>
      <c r="H7" s="25">
        <f>COUNTIF(DataTable[Status],"Healthy")</f>
        <v>8</v>
      </c>
      <c r="I7" s="25"/>
    </row>
    <row r="10" spans="2:12" ht="18">
      <c r="B10" s="21" t="s">
        <v>7</v>
      </c>
      <c r="C10" s="21"/>
      <c r="D10" s="21"/>
      <c r="E10" s="21"/>
      <c r="F10" s="21"/>
    </row>
    <row r="11" spans="2:12" ht="15">
      <c r="B11" s="1" t="s">
        <v>8</v>
      </c>
      <c r="C11" s="2" t="s">
        <v>9</v>
      </c>
    </row>
    <row r="12" spans="2:12" ht="15">
      <c r="B12" s="1" t="s">
        <v>10</v>
      </c>
      <c r="C12" s="3">
        <v>0.9</v>
      </c>
    </row>
    <row r="13" spans="2:12" ht="15">
      <c r="B13" s="1" t="s">
        <v>11</v>
      </c>
      <c r="C13" s="4">
        <v>46142</v>
      </c>
    </row>
    <row r="15" spans="2:12" ht="18">
      <c r="B15" s="21" t="s">
        <v>12</v>
      </c>
      <c r="C15" s="21"/>
      <c r="D15" s="21"/>
      <c r="E15" s="21"/>
      <c r="F15" s="21"/>
    </row>
    <row r="16" spans="2:12" ht="15">
      <c r="B16" s="1" t="s">
        <v>13</v>
      </c>
      <c r="C16" s="5">
        <f>ROUND(SUM(Data!D2:D13)/12,1)</f>
        <v>172.6</v>
      </c>
    </row>
    <row r="17" spans="2:6" ht="15">
      <c r="B17" s="1" t="s">
        <v>14</v>
      </c>
      <c r="C17" s="5" t="str">
        <f>IF(C12&gt;=0.9,"PASS","REVIEW")</f>
        <v>PASS</v>
      </c>
    </row>
    <row r="18" spans="2:6" ht="15">
      <c r="B18" s="1" t="s">
        <v>15</v>
      </c>
      <c r="C18" s="5" t="e">
        <f ca="1">_xludf.TEXTJOIN(" · ",TRUE,C11,"preview")</f>
        <v>#NAME?</v>
      </c>
    </row>
    <row r="19" spans="2:6" ht="15">
      <c r="B19" s="1" t="s">
        <v>16</v>
      </c>
      <c r="C19" s="5">
        <f>NETWORKDAYS(DATE(2026,1,1),C13)</f>
        <v>86</v>
      </c>
    </row>
    <row r="20" spans="2:6" ht="15">
      <c r="B20" s="1" t="s">
        <v>17</v>
      </c>
      <c r="C20" s="5" t="str" cm="1">
        <f t="array" ref="C20">_xlfn.XLOOKUP(C11,{"Document","Spreadsheet","Presentation"},{"Word","Cell","Slide"})</f>
        <v>Word</v>
      </c>
    </row>
    <row r="21" spans="2:6" ht="15">
      <c r="B21" s="1" t="s">
        <v>18</v>
      </c>
      <c r="C21" s="5">
        <f>SUM(RegionalTotals)</f>
        <v>2071</v>
      </c>
    </row>
    <row r="24" spans="2:6" ht="15">
      <c r="B24" s="6" t="s">
        <v>19</v>
      </c>
    </row>
    <row r="26" spans="2:6">
      <c r="B26" s="7" t="s">
        <v>20</v>
      </c>
      <c r="C26" s="7" t="s">
        <v>21</v>
      </c>
      <c r="D26" s="7" t="s">
        <v>22</v>
      </c>
      <c r="E26" s="7" t="s">
        <v>23</v>
      </c>
      <c r="F26" s="7" t="s">
        <v>24</v>
      </c>
    </row>
    <row r="27" spans="2:6">
      <c r="B27" s="8">
        <v>1</v>
      </c>
      <c r="C27" s="8" t="s">
        <v>25</v>
      </c>
      <c r="D27" s="8" t="s">
        <v>26</v>
      </c>
      <c r="E27" s="8">
        <v>98</v>
      </c>
      <c r="F27" s="8" t="s">
        <v>27</v>
      </c>
    </row>
    <row r="28" spans="2:6">
      <c r="B28" s="8">
        <v>2</v>
      </c>
      <c r="C28" s="8" t="s">
        <v>28</v>
      </c>
      <c r="D28" s="8" t="s">
        <v>29</v>
      </c>
      <c r="E28" s="8">
        <v>84</v>
      </c>
      <c r="F28" s="8" t="s">
        <v>27</v>
      </c>
    </row>
    <row r="29" spans="2:6">
      <c r="B29" s="8">
        <v>3</v>
      </c>
      <c r="C29" s="8" t="s">
        <v>30</v>
      </c>
      <c r="D29" s="8" t="s">
        <v>26</v>
      </c>
      <c r="E29" s="8">
        <v>93</v>
      </c>
      <c r="F29" s="8" t="s">
        <v>27</v>
      </c>
    </row>
    <row r="30" spans="2:6">
      <c r="B30" s="8">
        <v>4</v>
      </c>
      <c r="C30" s="8" t="s">
        <v>31</v>
      </c>
      <c r="D30" s="8" t="s">
        <v>32</v>
      </c>
      <c r="E30" s="8">
        <v>71</v>
      </c>
      <c r="F30" s="8" t="s">
        <v>27</v>
      </c>
    </row>
  </sheetData>
  <autoFilter ref="B26:F30" xr:uid="{00000000-0009-0000-0000-000000000000}"/>
  <mergeCells count="13">
    <mergeCell ref="B10:F10"/>
    <mergeCell ref="B15:F15"/>
    <mergeCell ref="B2:F2"/>
    <mergeCell ref="B3:F3"/>
    <mergeCell ref="B5:L5"/>
    <mergeCell ref="B6:C6"/>
    <mergeCell ref="B7:C7"/>
    <mergeCell ref="D6:E6"/>
    <mergeCell ref="D7:E7"/>
    <mergeCell ref="F6:G6"/>
    <mergeCell ref="F7:G7"/>
    <mergeCell ref="H6:I6"/>
    <mergeCell ref="H7:I7"/>
  </mergeCells>
  <phoneticPr fontId="15" type="noConversion"/>
  <conditionalFormatting sqref="D27:D30">
    <cfRule type="dataBar" priority="1">
      <dataBar>
        <cfvo type="min"/>
        <cfvo type="max"/>
        <color rgb="FF2F75B5"/>
      </dataBar>
    </cfRule>
  </conditionalFormatting>
  <dataValidations count="3">
    <dataValidation type="list" allowBlank="1" showInputMessage="1" showErrorMessage="1" sqref="C11" xr:uid="{00000000-0002-0000-0000-000000000000}">
      <formula1>"Document,Spreadsheet,Presentation"</formula1>
    </dataValidation>
    <dataValidation type="decimal" allowBlank="1" showInputMessage="1" showErrorMessage="1" sqref="C12" xr:uid="{00000000-0002-0000-0000-000001000000}">
      <formula1>0.5</formula1>
      <formula2>1</formula2>
    </dataValidation>
    <dataValidation type="date" allowBlank="1" showInputMessage="1" showErrorMessage="1" sqref="C13" xr:uid="{00000000-0002-0000-0000-000002000000}">
      <formula1>46023</formula1>
      <formula2>46387</formula2>
    </dataValidation>
  </dataValidations>
  <hyperlinks>
    <hyperlink ref="B24" r:id="rId1" xr:uid="{00000000-0004-0000-0000-000000000000}"/>
  </hyperlinks>
  <pageMargins left="0.35" right="0.35" top="0.55000000000000004" bottom="0.55000000000000004" header="0.3" footer="0.3"/>
  <pageSetup fitToHeight="0" orientation="landscape"/>
  <headerFooter>
    <oddHeader>&amp;LONLYOFFICE Preview Showcase&amp;C&amp;F&amp;RPage &amp;P of &amp;N</oddHeader>
    <oddFooter>&amp;LGenerated fixture&amp;CStatic preview corpus&amp;R2026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6A6"/>
    <pageSetUpPr fitToPage="1"/>
  </sheetPr>
  <dimension ref="A1:G14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83203125" defaultRowHeight="14"/>
  <cols>
    <col min="1" max="1" width="13.6640625" customWidth="1"/>
    <col min="2" max="3" width="16.6640625" customWidth="1"/>
    <col min="4" max="5" width="11.6640625" customWidth="1"/>
    <col min="6" max="6" width="12.6640625" customWidth="1"/>
    <col min="7" max="7" width="13.6640625" customWidth="1"/>
  </cols>
  <sheetData>
    <row r="1" spans="1:7" ht="24" customHeight="1">
      <c r="A1" t="s">
        <v>16</v>
      </c>
      <c r="B1" t="s">
        <v>42</v>
      </c>
      <c r="C1" t="s">
        <v>8</v>
      </c>
      <c r="D1" t="s">
        <v>43</v>
      </c>
      <c r="E1" t="s">
        <v>44</v>
      </c>
      <c r="F1" t="s">
        <v>45</v>
      </c>
      <c r="G1" t="s">
        <v>46</v>
      </c>
    </row>
    <row r="2" spans="1:7" ht="15">
      <c r="A2" s="4">
        <v>46027</v>
      </c>
      <c r="B2" s="8" t="s">
        <v>33</v>
      </c>
      <c r="C2" s="8" t="s">
        <v>9</v>
      </c>
      <c r="D2" s="8">
        <v>128</v>
      </c>
      <c r="E2" s="8">
        <v>74</v>
      </c>
      <c r="F2" s="3">
        <v>0.94</v>
      </c>
      <c r="G2" s="8" t="s">
        <v>34</v>
      </c>
    </row>
    <row r="3" spans="1:7" ht="15">
      <c r="A3" s="4">
        <v>46034</v>
      </c>
      <c r="B3" s="8" t="s">
        <v>35</v>
      </c>
      <c r="C3" s="8" t="s">
        <v>36</v>
      </c>
      <c r="D3" s="8">
        <v>156</v>
      </c>
      <c r="E3" s="8">
        <v>82</v>
      </c>
      <c r="F3" s="3">
        <v>0.91</v>
      </c>
      <c r="G3" s="8" t="s">
        <v>34</v>
      </c>
    </row>
    <row r="4" spans="1:7" ht="15">
      <c r="A4" s="4">
        <v>46041</v>
      </c>
      <c r="B4" s="8" t="s">
        <v>37</v>
      </c>
      <c r="C4" s="8" t="s">
        <v>38</v>
      </c>
      <c r="D4" s="8">
        <v>118</v>
      </c>
      <c r="E4" s="8">
        <v>69</v>
      </c>
      <c r="F4" s="3">
        <v>0.88</v>
      </c>
      <c r="G4" s="8" t="s">
        <v>39</v>
      </c>
    </row>
    <row r="5" spans="1:7" ht="15">
      <c r="A5" s="4">
        <v>46048</v>
      </c>
      <c r="B5" s="8" t="s">
        <v>40</v>
      </c>
      <c r="C5" s="8" t="s">
        <v>9</v>
      </c>
      <c r="D5" s="8">
        <v>172</v>
      </c>
      <c r="E5" s="8">
        <v>91</v>
      </c>
      <c r="F5" s="3">
        <v>0.96</v>
      </c>
      <c r="G5" s="8" t="s">
        <v>34</v>
      </c>
    </row>
    <row r="6" spans="1:7" ht="15">
      <c r="A6" s="4">
        <v>46055</v>
      </c>
      <c r="B6" s="8" t="s">
        <v>33</v>
      </c>
      <c r="C6" s="8" t="s">
        <v>36</v>
      </c>
      <c r="D6" s="8">
        <v>184</v>
      </c>
      <c r="E6" s="8">
        <v>95</v>
      </c>
      <c r="F6" s="3">
        <v>0.92</v>
      </c>
      <c r="G6" s="8" t="s">
        <v>34</v>
      </c>
    </row>
    <row r="7" spans="1:7" ht="15">
      <c r="A7" s="4">
        <v>46062</v>
      </c>
      <c r="B7" s="8" t="s">
        <v>35</v>
      </c>
      <c r="C7" s="8" t="s">
        <v>38</v>
      </c>
      <c r="D7" s="8">
        <v>143</v>
      </c>
      <c r="E7" s="8">
        <v>77</v>
      </c>
      <c r="F7" s="3">
        <v>0.86</v>
      </c>
      <c r="G7" s="8" t="s">
        <v>39</v>
      </c>
    </row>
    <row r="8" spans="1:7" ht="15">
      <c r="A8" s="4">
        <v>46069</v>
      </c>
      <c r="B8" s="8" t="s">
        <v>37</v>
      </c>
      <c r="C8" s="8" t="s">
        <v>9</v>
      </c>
      <c r="D8" s="8">
        <v>201</v>
      </c>
      <c r="E8" s="8">
        <v>108</v>
      </c>
      <c r="F8" s="3">
        <v>0.97</v>
      </c>
      <c r="G8" s="8" t="s">
        <v>34</v>
      </c>
    </row>
    <row r="9" spans="1:7" ht="15">
      <c r="A9" s="4">
        <v>46076</v>
      </c>
      <c r="B9" s="8" t="s">
        <v>40</v>
      </c>
      <c r="C9" s="8" t="s">
        <v>36</v>
      </c>
      <c r="D9" s="8">
        <v>194</v>
      </c>
      <c r="E9" s="8">
        <v>102</v>
      </c>
      <c r="F9" s="3">
        <v>0.9</v>
      </c>
      <c r="G9" s="8" t="s">
        <v>34</v>
      </c>
    </row>
    <row r="10" spans="1:7" ht="15">
      <c r="A10" s="4">
        <v>46083</v>
      </c>
      <c r="B10" s="8" t="s">
        <v>33</v>
      </c>
      <c r="C10" s="8" t="s">
        <v>38</v>
      </c>
      <c r="D10" s="8">
        <v>167</v>
      </c>
      <c r="E10" s="8">
        <v>88</v>
      </c>
      <c r="F10" s="3">
        <v>0.84</v>
      </c>
      <c r="G10" s="8" t="s">
        <v>41</v>
      </c>
    </row>
    <row r="11" spans="1:7" ht="15">
      <c r="A11" s="4">
        <v>46090</v>
      </c>
      <c r="B11" s="8" t="s">
        <v>35</v>
      </c>
      <c r="C11" s="8" t="s">
        <v>9</v>
      </c>
      <c r="D11" s="8">
        <v>219</v>
      </c>
      <c r="E11" s="8">
        <v>116</v>
      </c>
      <c r="F11" s="3">
        <v>0.98</v>
      </c>
      <c r="G11" s="8" t="s">
        <v>34</v>
      </c>
    </row>
    <row r="12" spans="1:7" ht="15">
      <c r="A12" s="4">
        <v>46097</v>
      </c>
      <c r="B12" s="8" t="s">
        <v>37</v>
      </c>
      <c r="C12" s="8" t="s">
        <v>36</v>
      </c>
      <c r="D12" s="8">
        <v>208</v>
      </c>
      <c r="E12" s="8">
        <v>111</v>
      </c>
      <c r="F12" s="3">
        <v>0.93</v>
      </c>
      <c r="G12" s="8" t="s">
        <v>34</v>
      </c>
    </row>
    <row r="13" spans="1:7" ht="15">
      <c r="A13" s="4">
        <v>46104</v>
      </c>
      <c r="B13" s="8" t="s">
        <v>40</v>
      </c>
      <c r="C13" s="8" t="s">
        <v>38</v>
      </c>
      <c r="D13" s="8">
        <v>181</v>
      </c>
      <c r="E13" s="8">
        <v>97</v>
      </c>
      <c r="F13" s="3">
        <v>0.89</v>
      </c>
      <c r="G13" s="8" t="s">
        <v>39</v>
      </c>
    </row>
    <row r="14" spans="1:7">
      <c r="D14">
        <f>SUBTOTAL(109,DataTable[Opens])</f>
        <v>2071</v>
      </c>
      <c r="E14">
        <f>SUBTOTAL(109,DataTable[Saves])</f>
        <v>1110</v>
      </c>
      <c r="F14">
        <f>SUBTOTAL(101,DataTable[Fidelity])</f>
        <v>0.91500000000000015</v>
      </c>
      <c r="G14">
        <f>SUBTOTAL(103,DataTable[Status])</f>
        <v>12</v>
      </c>
    </row>
  </sheetData>
  <sheetProtection password="E4CC" sheet="1" objects="1" scenarios="1"/>
  <phoneticPr fontId="15" type="noConversion"/>
  <conditionalFormatting sqref="D2:D13">
    <cfRule type="iconSet" priority="3">
      <iconSet>
        <cfvo type="percent" val="0"/>
        <cfvo type="percent" val="33"/>
        <cfvo type="percent" val="67"/>
      </iconSet>
    </cfRule>
  </conditionalFormatting>
  <conditionalFormatting sqref="E2:E13">
    <cfRule type="expression" dxfId="1" priority="4">
      <formula>$E2&gt;$D2</formula>
    </cfRule>
  </conditionalFormatting>
  <conditionalFormatting sqref="F2:F13">
    <cfRule type="colorScale" priority="1">
      <colorScale>
        <cfvo type="min"/>
        <cfvo type="percentile" val="50"/>
        <cfvo type="max"/>
        <color rgb="FFE76F51"/>
        <color rgb="FFF2B134"/>
        <color rgb="FF00A6A6"/>
      </colorScale>
    </cfRule>
  </conditionalFormatting>
  <conditionalFormatting sqref="G2:G13">
    <cfRule type="containsText" dxfId="0" priority="2" operator="containsText" text="Risk">
      <formula>NOT(ISERROR(SEARCH("Risk",G2)))</formula>
    </cfRule>
  </conditionalFormatting>
  <pageMargins left="0.35" right="0.35" top="0.55000000000000004" bottom="0.55000000000000004" header="0.3" footer="0.3"/>
  <pageSetup fitToHeight="0" orientation="landscape"/>
  <headerFooter>
    <oddHeader>&amp;LONLYOFFICE Preview Showcase&amp;C&amp;F&amp;RPage &amp;P of &amp;N</oddHeader>
    <oddFooter>&amp;LGenerated fixture&amp;CStatic preview corpus&amp;R2026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2B134"/>
    <pageSetUpPr fitToPage="1"/>
  </sheetPr>
  <dimension ref="B2:I18"/>
  <sheetViews>
    <sheetView showGridLines="0" workbookViewId="0"/>
  </sheetViews>
  <sheetFormatPr baseColWidth="10" defaultColWidth="8.83203125" defaultRowHeight="14"/>
  <cols>
    <col min="1" max="1" width="3.33203125" customWidth="1"/>
    <col min="2" max="3" width="22.6640625" customWidth="1"/>
    <col min="4" max="5" width="20.6640625" customWidth="1"/>
    <col min="7" max="7" width="11.5" customWidth="1"/>
  </cols>
  <sheetData>
    <row r="2" spans="2:9" ht="30">
      <c r="B2" s="22" t="s">
        <v>47</v>
      </c>
      <c r="C2" s="22"/>
      <c r="D2" s="22"/>
      <c r="E2" s="22"/>
      <c r="G2" t="s">
        <v>104</v>
      </c>
      <c r="H2" t="s">
        <v>105</v>
      </c>
      <c r="I2" t="s">
        <v>49</v>
      </c>
    </row>
    <row r="3" spans="2:9">
      <c r="G3" t="s">
        <v>9</v>
      </c>
      <c r="H3">
        <v>12</v>
      </c>
      <c r="I3">
        <v>128</v>
      </c>
    </row>
    <row r="4" spans="2:9">
      <c r="B4" s="7" t="s">
        <v>48</v>
      </c>
      <c r="C4" s="7" t="s">
        <v>49</v>
      </c>
      <c r="D4" s="7" t="s">
        <v>50</v>
      </c>
      <c r="E4" s="7" t="s">
        <v>51</v>
      </c>
      <c r="G4" t="s">
        <v>36</v>
      </c>
      <c r="H4">
        <v>8</v>
      </c>
      <c r="I4">
        <v>96</v>
      </c>
    </row>
    <row r="5" spans="2:9" ht="15">
      <c r="B5" s="9" t="s">
        <v>15</v>
      </c>
      <c r="C5" s="9" t="s">
        <v>52</v>
      </c>
      <c r="D5" s="10" t="s">
        <v>52</v>
      </c>
      <c r="E5" s="9" t="s">
        <v>53</v>
      </c>
      <c r="G5" t="s">
        <v>38</v>
      </c>
      <c r="H5">
        <v>5</v>
      </c>
      <c r="I5">
        <v>77</v>
      </c>
    </row>
    <row r="6" spans="2:9" ht="15">
      <c r="B6" s="9" t="s">
        <v>54</v>
      </c>
      <c r="C6" s="9">
        <v>123456</v>
      </c>
      <c r="D6" s="10" t="s">
        <v>55</v>
      </c>
      <c r="E6" s="9" t="s">
        <v>56</v>
      </c>
      <c r="G6" t="s">
        <v>106</v>
      </c>
      <c r="H6">
        <v>4</v>
      </c>
      <c r="I6">
        <v>64</v>
      </c>
    </row>
    <row r="7" spans="2:9" ht="15">
      <c r="B7" s="9" t="s">
        <v>57</v>
      </c>
      <c r="C7" s="11">
        <v>9876.5</v>
      </c>
      <c r="D7" s="10" t="s">
        <v>58</v>
      </c>
      <c r="E7" s="9" t="s">
        <v>59</v>
      </c>
      <c r="G7" t="s">
        <v>107</v>
      </c>
      <c r="H7">
        <f>SUBTOTAL(109,TotalsDemo[Units])</f>
        <v>29</v>
      </c>
      <c r="I7">
        <f>SUBTOTAL(109,TotalsDemo[Value])</f>
        <v>365</v>
      </c>
    </row>
    <row r="8" spans="2:9" ht="15">
      <c r="B8" s="9" t="s">
        <v>60</v>
      </c>
      <c r="C8" s="3">
        <v>0.875</v>
      </c>
      <c r="D8" s="10" t="s">
        <v>61</v>
      </c>
      <c r="E8" s="9" t="s">
        <v>62</v>
      </c>
    </row>
    <row r="9" spans="2:9" ht="15">
      <c r="B9" s="9" t="s">
        <v>63</v>
      </c>
      <c r="C9" s="12">
        <v>1.234E-5</v>
      </c>
      <c r="D9" s="10" t="s">
        <v>64</v>
      </c>
      <c r="E9" s="9" t="s">
        <v>65</v>
      </c>
    </row>
    <row r="10" spans="2:9" ht="15">
      <c r="B10" s="9" t="s">
        <v>16</v>
      </c>
      <c r="C10" s="4">
        <v>46225</v>
      </c>
      <c r="D10" s="10" t="s">
        <v>66</v>
      </c>
      <c r="E10" s="9" t="s">
        <v>67</v>
      </c>
    </row>
    <row r="11" spans="2:9" ht="15">
      <c r="B11" s="9" t="s">
        <v>68</v>
      </c>
      <c r="C11" s="13">
        <v>46225.607638888891</v>
      </c>
      <c r="D11" s="10" t="s">
        <v>69</v>
      </c>
      <c r="E11" s="9" t="s">
        <v>70</v>
      </c>
    </row>
    <row r="12" spans="2:9" ht="15">
      <c r="B12" s="9" t="s">
        <v>71</v>
      </c>
      <c r="C12" s="9" t="b">
        <v>1</v>
      </c>
      <c r="D12" s="10" t="s">
        <v>72</v>
      </c>
      <c r="E12" s="9" t="s">
        <v>73</v>
      </c>
    </row>
    <row r="13" spans="2:9">
      <c r="B13" s="9" t="s">
        <v>74</v>
      </c>
      <c r="C13" s="9"/>
      <c r="D13" s="10"/>
      <c r="E13" s="9" t="s">
        <v>75</v>
      </c>
    </row>
    <row r="14" spans="2:9">
      <c r="B14" s="9" t="s">
        <v>76</v>
      </c>
      <c r="C14" s="9" t="e">
        <f>1/0</f>
        <v>#DIV/0!</v>
      </c>
      <c r="D14" s="9" t="s">
        <v>77</v>
      </c>
    </row>
    <row r="16" spans="2:9" ht="28" customHeight="1">
      <c r="B16" s="21" t="s">
        <v>78</v>
      </c>
      <c r="C16" s="21"/>
      <c r="D16" s="21"/>
      <c r="E16" s="21"/>
    </row>
    <row r="18" spans="2:4" ht="42" customHeight="1">
      <c r="B18" s="14" t="s">
        <v>79</v>
      </c>
      <c r="D18" s="15" t="s">
        <v>80</v>
      </c>
    </row>
  </sheetData>
  <mergeCells count="2">
    <mergeCell ref="B2:E2"/>
    <mergeCell ref="B16:E16"/>
  </mergeCells>
  <phoneticPr fontId="15" type="noConversion"/>
  <pageMargins left="0.35" right="0.35" top="0.55000000000000004" bottom="0.55000000000000004" header="0.3" footer="0.3"/>
  <pageSetup fitToHeight="0" orientation="landscape"/>
  <headerFooter>
    <oddHeader>&amp;LONLYOFFICE Preview Showcase&amp;C&amp;F&amp;RPage &amp;P of &amp;N</oddHeader>
    <oddFooter>&amp;LGenerated fixture&amp;CStatic preview corpus&amp;R2026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76F51"/>
    <pageSetUpPr fitToPage="1"/>
  </sheetPr>
  <dimension ref="B2:F8"/>
  <sheetViews>
    <sheetView showGridLines="0" workbookViewId="0"/>
  </sheetViews>
  <sheetFormatPr baseColWidth="10" defaultColWidth="8.83203125" defaultRowHeight="14"/>
  <cols>
    <col min="1" max="1" width="2.6640625" customWidth="1"/>
    <col min="2" max="13" width="11.6640625" customWidth="1"/>
  </cols>
  <sheetData>
    <row r="2" spans="2:6">
      <c r="B2" t="s">
        <v>81</v>
      </c>
      <c r="C2" t="s">
        <v>9</v>
      </c>
      <c r="D2" t="s">
        <v>36</v>
      </c>
      <c r="E2" t="s">
        <v>38</v>
      </c>
      <c r="F2" t="s">
        <v>82</v>
      </c>
    </row>
    <row r="3" spans="2:6">
      <c r="B3" t="s">
        <v>83</v>
      </c>
      <c r="C3">
        <v>120</v>
      </c>
      <c r="D3">
        <v>105</v>
      </c>
      <c r="E3">
        <v>92</v>
      </c>
      <c r="F3">
        <v>100</v>
      </c>
    </row>
    <row r="4" spans="2:6">
      <c r="B4" t="s">
        <v>84</v>
      </c>
      <c r="C4">
        <v>138</v>
      </c>
      <c r="D4">
        <v>118</v>
      </c>
      <c r="E4">
        <v>101</v>
      </c>
      <c r="F4">
        <v>110</v>
      </c>
    </row>
    <row r="5" spans="2:6">
      <c r="B5" t="s">
        <v>85</v>
      </c>
      <c r="C5">
        <v>151</v>
      </c>
      <c r="D5">
        <v>132</v>
      </c>
      <c r="E5">
        <v>116</v>
      </c>
      <c r="F5">
        <v>120</v>
      </c>
    </row>
    <row r="6" spans="2:6">
      <c r="B6" t="s">
        <v>86</v>
      </c>
      <c r="C6">
        <v>169</v>
      </c>
      <c r="D6">
        <v>147</v>
      </c>
      <c r="E6">
        <v>128</v>
      </c>
      <c r="F6">
        <v>130</v>
      </c>
    </row>
    <row r="7" spans="2:6">
      <c r="B7" t="s">
        <v>87</v>
      </c>
      <c r="C7">
        <v>188</v>
      </c>
      <c r="D7">
        <v>164</v>
      </c>
      <c r="E7">
        <v>143</v>
      </c>
      <c r="F7">
        <v>145</v>
      </c>
    </row>
    <row r="8" spans="2:6">
      <c r="B8" t="s">
        <v>88</v>
      </c>
      <c r="C8">
        <v>212</v>
      </c>
      <c r="D8">
        <v>183</v>
      </c>
      <c r="E8">
        <v>157</v>
      </c>
      <c r="F8">
        <v>160</v>
      </c>
    </row>
  </sheetData>
  <phoneticPr fontId="15" type="noConversion"/>
  <pageMargins left="0.35" right="0.35" top="0.55000000000000004" bottom="0.55000000000000004" header="0.3" footer="0.3"/>
  <pageSetup fitToHeight="0" orientation="landscape"/>
  <headerFooter>
    <oddHeader>&amp;LONLYOFFICE Preview Showcase&amp;C&amp;F&amp;RPage &amp;P of &amp;N</oddHeader>
    <oddFooter>&amp;LGenerated fixture&amp;CStatic preview corpus&amp;R2026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A6A6"/>
    <pageSetUpPr fitToPage="1"/>
  </sheetPr>
  <dimension ref="B2:K7"/>
  <sheetViews>
    <sheetView showGridLines="0" workbookViewId="0"/>
  </sheetViews>
  <sheetFormatPr baseColWidth="10" defaultColWidth="8.83203125" defaultRowHeight="14"/>
  <cols>
    <col min="1" max="1" width="2.6640625" customWidth="1"/>
    <col min="2" max="2" width="18.6640625" customWidth="1"/>
    <col min="3" max="8" width="10.6640625" customWidth="1"/>
    <col min="9" max="11" width="18.6640625" customWidth="1"/>
  </cols>
  <sheetData>
    <row r="2" spans="2:11" ht="30">
      <c r="B2" s="22" t="s">
        <v>89</v>
      </c>
      <c r="C2" s="22"/>
      <c r="D2" s="22"/>
      <c r="E2" s="22"/>
      <c r="F2" s="22"/>
      <c r="G2" s="22"/>
      <c r="H2" s="22"/>
      <c r="I2" s="22"/>
      <c r="J2" s="22"/>
      <c r="K2" s="22"/>
    </row>
    <row r="4" spans="2:11">
      <c r="B4" s="7" t="s">
        <v>90</v>
      </c>
      <c r="C4" s="7" t="s">
        <v>83</v>
      </c>
      <c r="D4" s="7" t="s">
        <v>84</v>
      </c>
      <c r="E4" s="7" t="s">
        <v>85</v>
      </c>
      <c r="F4" s="7" t="s">
        <v>86</v>
      </c>
      <c r="G4" s="7" t="s">
        <v>87</v>
      </c>
      <c r="H4" s="7" t="s">
        <v>88</v>
      </c>
      <c r="I4" s="7" t="s">
        <v>91</v>
      </c>
      <c r="J4" s="7" t="s">
        <v>92</v>
      </c>
      <c r="K4" s="7" t="s">
        <v>93</v>
      </c>
    </row>
    <row r="5" spans="2:11" ht="28" customHeight="1">
      <c r="B5" s="8" t="s">
        <v>9</v>
      </c>
      <c r="C5" s="8">
        <v>12</v>
      </c>
      <c r="D5" s="8">
        <v>18</v>
      </c>
      <c r="E5" s="8">
        <v>16</v>
      </c>
      <c r="F5" s="8">
        <v>24</v>
      </c>
      <c r="G5" s="8">
        <v>28</v>
      </c>
      <c r="H5" s="8">
        <v>31</v>
      </c>
    </row>
    <row r="6" spans="2:11" ht="28" customHeight="1">
      <c r="B6" s="8" t="s">
        <v>36</v>
      </c>
      <c r="C6" s="8">
        <v>9</v>
      </c>
      <c r="D6" s="8">
        <v>13</v>
      </c>
      <c r="E6" s="8">
        <v>15</v>
      </c>
      <c r="F6" s="8">
        <v>14</v>
      </c>
      <c r="G6" s="8">
        <v>22</v>
      </c>
      <c r="H6" s="8">
        <v>26</v>
      </c>
    </row>
    <row r="7" spans="2:11" ht="28" customHeight="1">
      <c r="B7" s="8" t="s">
        <v>38</v>
      </c>
      <c r="C7" s="8">
        <v>-4</v>
      </c>
      <c r="D7" s="8">
        <v>7</v>
      </c>
      <c r="E7" s="8">
        <v>-2</v>
      </c>
      <c r="F7" s="8">
        <v>9</v>
      </c>
      <c r="G7" s="8">
        <v>11</v>
      </c>
      <c r="H7" s="8">
        <v>-1</v>
      </c>
    </row>
  </sheetData>
  <mergeCells count="1">
    <mergeCell ref="B2:K2"/>
  </mergeCells>
  <phoneticPr fontId="15" type="noConversion"/>
  <pageMargins left="0.35" right="0.35" top="0.55000000000000004" bottom="0.55000000000000004" header="0.3" footer="0.3"/>
  <pageSetup fitToHeight="0" orientation="landscape"/>
  <headerFooter>
    <oddHeader>&amp;LONLYOFFICE Preview Showcase&amp;C&amp;F&amp;RPage &amp;P of &amp;N</oddHeader>
    <oddFooter>&amp;LGenerated fixture&amp;CStatic preview corpus&amp;R2026</oddFooter>
  </headerFooter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type="stacked" displayEmptyCellsAs="gap" xr2:uid="{00000000-0003-0000-0400-000000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Sparklines!C7:H7</xm:f>
              <xm:sqref>K7</xm:sqref>
            </x14:sparkline>
          </x14:sparklines>
        </x14:sparklineGroup>
        <x14:sparklineGroup manualMax="0" manualMin="0" type="column" displayEmptyCellsAs="gap" xr2:uid="{00000000-0003-0000-0400-000001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Sparklines!C7:H7</xm:f>
              <xm:sqref>J7</xm:sqref>
            </x14:sparkline>
          </x14:sparklines>
        </x14:sparklineGroup>
        <x14:sparklineGroup manualMax="0" manualMin="0" displayEmptyCellsAs="gap" markers="1" xr2:uid="{00000000-0003-0000-0400-000002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Sparklines!C7:H7</xm:f>
              <xm:sqref>I7</xm:sqref>
            </x14:sparkline>
          </x14:sparklines>
        </x14:sparklineGroup>
        <x14:sparklineGroup manualMax="0" manualMin="0" type="stacked" displayEmptyCellsAs="gap" xr2:uid="{00000000-0003-0000-0400-000003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Sparklines!C6:H6</xm:f>
              <xm:sqref>K6</xm:sqref>
            </x14:sparkline>
          </x14:sparklines>
        </x14:sparklineGroup>
        <x14:sparklineGroup manualMax="0" manualMin="0" type="column" displayEmptyCellsAs="gap" xr2:uid="{00000000-0003-0000-0400-000004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Sparklines!C6:H6</xm:f>
              <xm:sqref>J6</xm:sqref>
            </x14:sparkline>
          </x14:sparklines>
        </x14:sparklineGroup>
        <x14:sparklineGroup manualMax="0" manualMin="0" displayEmptyCellsAs="gap" markers="1" xr2:uid="{00000000-0003-0000-0400-000005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Sparklines!C6:H6</xm:f>
              <xm:sqref>I6</xm:sqref>
            </x14:sparkline>
          </x14:sparklines>
        </x14:sparklineGroup>
        <x14:sparklineGroup manualMax="0" manualMin="0" type="stacked" displayEmptyCellsAs="gap" xr2:uid="{00000000-0003-0000-0400-000006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Sparklines!C5:H5</xm:f>
              <xm:sqref>K5</xm:sqref>
            </x14:sparkline>
          </x14:sparklines>
        </x14:sparklineGroup>
        <x14:sparklineGroup manualMax="0" manualMin="0" type="column" displayEmptyCellsAs="gap" xr2:uid="{00000000-0003-0000-0400-000007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Sparklines!C5:H5</xm:f>
              <xm:sqref>J5</xm:sqref>
            </x14:sparkline>
          </x14:sparklines>
        </x14:sparklineGroup>
        <x14:sparklineGroup manualMax="0" manualMin="0" displayEmptyCellsAs="gap" markers="1" xr2:uid="{00000000-0003-0000-0400-000008000000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Sparklines!C5:H5</xm:f>
              <xm:sqref>I5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2304A"/>
    <pageSetUpPr fitToPage="1"/>
  </sheetPr>
  <dimension ref="B2:F10"/>
  <sheetViews>
    <sheetView showGridLines="0" rightToLeft="1" workbookViewId="0"/>
  </sheetViews>
  <sheetFormatPr baseColWidth="10" defaultColWidth="8.83203125" defaultRowHeight="14"/>
  <cols>
    <col min="1" max="1" width="2.6640625" customWidth="1"/>
    <col min="2" max="6" width="22.6640625" customWidth="1"/>
  </cols>
  <sheetData>
    <row r="2" spans="2:6" ht="20">
      <c r="B2" s="26" t="s">
        <v>94</v>
      </c>
      <c r="C2" s="26"/>
      <c r="D2" s="26"/>
      <c r="E2" s="26"/>
      <c r="F2" s="26"/>
    </row>
    <row r="4" spans="2:6" ht="20">
      <c r="B4" s="26" t="s">
        <v>95</v>
      </c>
      <c r="C4" s="26"/>
      <c r="D4" s="26"/>
      <c r="E4" s="26"/>
      <c r="F4" s="26"/>
    </row>
    <row r="6" spans="2:6" ht="17">
      <c r="B6" s="27" t="s">
        <v>96</v>
      </c>
      <c r="C6" s="27"/>
      <c r="D6" s="27"/>
      <c r="E6" s="27"/>
      <c r="F6" s="27"/>
    </row>
    <row r="8" spans="2:6" ht="17">
      <c r="B8" s="27" t="s">
        <v>97</v>
      </c>
      <c r="C8" s="27"/>
      <c r="D8" s="27"/>
      <c r="E8" s="27"/>
      <c r="F8" s="27"/>
    </row>
    <row r="10" spans="2:6" ht="20">
      <c r="B10" s="26" t="s">
        <v>98</v>
      </c>
      <c r="C10" s="26"/>
      <c r="D10" s="26"/>
      <c r="E10" s="26"/>
      <c r="F10" s="26"/>
    </row>
  </sheetData>
  <mergeCells count="5">
    <mergeCell ref="B2:F2"/>
    <mergeCell ref="B4:F4"/>
    <mergeCell ref="B6:F6"/>
    <mergeCell ref="B8:F8"/>
    <mergeCell ref="B10:F10"/>
  </mergeCells>
  <phoneticPr fontId="15" type="noConversion"/>
  <pageMargins left="0.35" right="0.35" top="0.55000000000000004" bottom="0.55000000000000004" header="0.3" footer="0.3"/>
  <pageSetup fitToHeight="0" orientation="landscape"/>
  <headerFooter>
    <oddHeader>&amp;LONLYOFFICE Preview Showcase&amp;C&amp;F&amp;RPage &amp;P of &amp;N</oddHeader>
    <oddFooter>&amp;LGenerated fixture&amp;CStatic preview corpus&amp;R2026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baseColWidth="10" defaultColWidth="8.83203125" defaultRowHeight="14"/>
  <sheetData>
    <row r="1" spans="1:2">
      <c r="A1" t="s">
        <v>99</v>
      </c>
      <c r="B1" t="s">
        <v>100</v>
      </c>
    </row>
    <row r="2" spans="1:2">
      <c r="A2" t="s">
        <v>101</v>
      </c>
      <c r="B2" t="s">
        <v>9</v>
      </c>
    </row>
    <row r="3" spans="1:2">
      <c r="A3" t="s">
        <v>102</v>
      </c>
      <c r="B3" t="s">
        <v>36</v>
      </c>
    </row>
    <row r="4" spans="1:2">
      <c r="A4" t="s">
        <v>103</v>
      </c>
      <c r="B4" t="s">
        <v>38</v>
      </c>
    </row>
  </sheetData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C6098-9C5F-114A-89CE-188C39A43237}">
  <sheetPr>
    <tabColor rgb="FF4472C4"/>
  </sheetPr>
  <dimension ref="A1:S11"/>
  <sheetViews>
    <sheetView tabSelected="1" zoomScale="106" workbookViewId="0">
      <selection activeCell="A9" sqref="A9"/>
    </sheetView>
  </sheetViews>
  <sheetFormatPr baseColWidth="10" defaultRowHeight="14"/>
  <cols>
    <col min="1" max="1" width="10" bestFit="1" customWidth="1"/>
    <col min="2" max="3" width="17.6640625" bestFit="1" customWidth="1"/>
    <col min="4" max="4" width="22.83203125" bestFit="1" customWidth="1"/>
    <col min="5" max="6" width="17.6640625" bestFit="1" customWidth="1"/>
    <col min="7" max="7" width="22.83203125" bestFit="1" customWidth="1"/>
    <col min="8" max="9" width="17.1640625" bestFit="1" customWidth="1"/>
    <col min="10" max="10" width="22.33203125" bestFit="1" customWidth="1"/>
    <col min="11" max="12" width="17.1640625" bestFit="1" customWidth="1"/>
    <col min="13" max="13" width="22.33203125" bestFit="1" customWidth="1"/>
  </cols>
  <sheetData>
    <row r="1" spans="1:19" ht="24" customHeight="1">
      <c r="A1" s="16" t="s">
        <v>46</v>
      </c>
      <c r="B1" t="s">
        <v>41</v>
      </c>
      <c r="N1" s="20"/>
      <c r="O1" s="20"/>
      <c r="P1" s="20"/>
      <c r="Q1" s="20"/>
      <c r="R1" s="20"/>
      <c r="S1" s="20"/>
    </row>
    <row r="3" spans="1:19">
      <c r="B3" s="16" t="s">
        <v>110</v>
      </c>
    </row>
    <row r="4" spans="1:19">
      <c r="B4" t="s">
        <v>111</v>
      </c>
      <c r="C4" t="s">
        <v>112</v>
      </c>
      <c r="D4" t="s">
        <v>113</v>
      </c>
    </row>
    <row r="5" spans="1:19">
      <c r="A5" s="16" t="s">
        <v>108</v>
      </c>
    </row>
    <row r="6" spans="1:19">
      <c r="A6" s="17" t="s">
        <v>109</v>
      </c>
      <c r="B6" s="18"/>
      <c r="C6" s="18"/>
      <c r="D6" s="19"/>
    </row>
    <row r="9" spans="1:19">
      <c r="A9" s="20"/>
    </row>
    <row r="11" spans="1:19">
      <c r="A11" s="20" t="s">
        <v>114</v>
      </c>
    </row>
  </sheetData>
  <phoneticPr fontId="15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13</vt:i4>
      </vt:variant>
    </vt:vector>
  </HeadingPairs>
  <TitlesOfParts>
    <vt:vector size="21" baseType="lpstr">
      <vt:lpstr>Overview</vt:lpstr>
      <vt:lpstr>Data</vt:lpstr>
      <vt:lpstr>Formats</vt:lpstr>
      <vt:lpstr>Charts</vt:lpstr>
      <vt:lpstr>Sparklines</vt:lpstr>
      <vt:lpstr>RTL &amp; CJK</vt:lpstr>
      <vt:lpstr>Reference</vt:lpstr>
      <vt:lpstr>Native PivotTable and Slicer</vt:lpstr>
      <vt:lpstr>Charts!Print_Area</vt:lpstr>
      <vt:lpstr>Data!Print_Area</vt:lpstr>
      <vt:lpstr>Formats!Print_Area</vt:lpstr>
      <vt:lpstr>Overview!Print_Area</vt:lpstr>
      <vt:lpstr>'RTL &amp; CJK'!Print_Area</vt:lpstr>
      <vt:lpstr>Sparklines!Print_Area</vt:lpstr>
      <vt:lpstr>Charts!Print_Titles</vt:lpstr>
      <vt:lpstr>Data!Print_Titles</vt:lpstr>
      <vt:lpstr>Formats!Print_Titles</vt:lpstr>
      <vt:lpstr>Overview!Print_Titles</vt:lpstr>
      <vt:lpstr>'RTL &amp; CJK'!Print_Titles</vt:lpstr>
      <vt:lpstr>Sparklines!Print_Titles</vt:lpstr>
      <vt:lpstr>RegionalTotals</vt:lpstr>
    </vt:vector>
  </TitlesOfParts>
  <Company>agentbridges-ai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ONLYOFFICE Spreadsheet Preview Showcase</dc:title>
  <dc:subject>Deterministic spreadsheet rendering and document-model fixture</dc:subject>
  <dc:creator>agentbridges-ai</dc:creator>
  <dc:description>Generated by scripts/generate-office-spreadsheet-showcase.py</dc:description>
  <cp:lastModifiedBy>agentbridges-ai</cp:lastModifiedBy>
  <dcterms:created xsi:type="dcterms:W3CDTF">2026-07-22T00:00:00Z</dcterms:created>
  <dcterms:modified xsi:type="dcterms:W3CDTF">2026-07-22T09:47:37Z</dcterms:modified>
</cp:coreProperties>
</file>